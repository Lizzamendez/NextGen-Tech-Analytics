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951037B7-EE80-4F32-88EF-A38366B421E2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Base" sheetId="1" r:id="rId1"/>
    <sheet name="Calculos" sheetId="2" r:id="rId2"/>
    <sheet name="Dashbo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</calcChain>
</file>

<file path=xl/sharedStrings.xml><?xml version="1.0" encoding="utf-8"?>
<sst xmlns="http://schemas.openxmlformats.org/spreadsheetml/2006/main" count="64" uniqueCount="44">
  <si>
    <t>ID Pedido</t>
  </si>
  <si>
    <t>Data</t>
  </si>
  <si>
    <t>Cliente</t>
  </si>
  <si>
    <t>Categoria</t>
  </si>
  <si>
    <t>Produto</t>
  </si>
  <si>
    <t>Valor Venda</t>
  </si>
  <si>
    <t>Custo</t>
  </si>
  <si>
    <t>Região</t>
  </si>
  <si>
    <t>Status</t>
  </si>
  <si>
    <t>João Silva</t>
  </si>
  <si>
    <t>Smartphones</t>
  </si>
  <si>
    <t>iPhone 15</t>
  </si>
  <si>
    <t>Sudeste</t>
  </si>
  <si>
    <t>Entregue</t>
  </si>
  <si>
    <t>Maria Luz</t>
  </si>
  <si>
    <t>Notebooks</t>
  </si>
  <si>
    <t>MacBook Air</t>
  </si>
  <si>
    <t>Sul</t>
  </si>
  <si>
    <t>Carlos Edu</t>
  </si>
  <si>
    <t>Periféricos</t>
  </si>
  <si>
    <t>Mouse Gamer</t>
  </si>
  <si>
    <t>Nordeste</t>
  </si>
  <si>
    <t>Cancelado</t>
  </si>
  <si>
    <t>Ana Paula</t>
  </si>
  <si>
    <t>Áudio</t>
  </si>
  <si>
    <t>AirPods Pro</t>
  </si>
  <si>
    <t>Pedro Vaz</t>
  </si>
  <si>
    <t>Samsung S24</t>
  </si>
  <si>
    <t>Centro-Oeste</t>
  </si>
  <si>
    <t>Pendente</t>
  </si>
  <si>
    <t>Julia Lima</t>
  </si>
  <si>
    <t>Dell G15</t>
  </si>
  <si>
    <t>Lucas Melo</t>
  </si>
  <si>
    <t>Teclado Mecânico</t>
  </si>
  <si>
    <t>Norte</t>
  </si>
  <si>
    <t>Beatriz Gomes</t>
  </si>
  <si>
    <t>JBL Boombox</t>
  </si>
  <si>
    <t>Marcos Sol</t>
  </si>
  <si>
    <t>Google Pixel 8</t>
  </si>
  <si>
    <t>Fernanda Sá</t>
  </si>
  <si>
    <t>Lenovo Legion</t>
  </si>
  <si>
    <t>Faturamento Total</t>
  </si>
  <si>
    <t>Lucro Total</t>
  </si>
  <si>
    <t>Margem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</si>
</sst>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6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4"/>
      <color rgb="FF000000"/>
      <name val="Aptos Narrow"/>
      <scheme val="minor"/>
    </font>
    <font>
      <b/>
      <sz val="2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/>
      <top/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/>
      <top style="thin">
        <color rgb="FF1F1F1F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readingOrder="1"/>
    </xf>
    <xf numFmtId="14" fontId="2" fillId="0" borderId="1" xfId="0" applyNumberFormat="1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14" fontId="2" fillId="0" borderId="8" xfId="0" applyNumberFormat="1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10" fontId="0" fillId="0" borderId="0" xfId="0" applyNumberFormat="1"/>
    <xf numFmtId="0" fontId="3" fillId="2" borderId="0" xfId="0" applyFont="1" applyFill="1" applyAlignment="1">
      <alignment horizontal="center" vertical="center"/>
    </xf>
    <xf numFmtId="6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/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numFmt numFmtId="19" formatCode="dd/mm/yyyy"/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border outline="0">
        <top style="thin">
          <color rgb="FF1F1F1F"/>
        </top>
      </border>
    </dxf>
    <dxf>
      <border outline="0">
        <bottom style="thin">
          <color rgb="FF1F1F1F"/>
        </bottom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1F1F1F"/>
        </left>
        <right style="thin">
          <color rgb="FF1F1F1F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6B1444-4131-4727-B6FA-ACDB56768B10}" name="Tabela1" displayName="Tabela1" ref="A1:I11" totalsRowShown="0" headerRowDxfId="13" dataDxfId="12" headerRowBorderDxfId="10" tableBorderDxfId="11" totalsRowBorderDxfId="9">
  <autoFilter ref="A1:I11" xr:uid="{5E6B1444-4131-4727-B6FA-ACDB56768B10}"/>
  <tableColumns count="9">
    <tableColumn id="1" xr3:uid="{685CB446-1835-4853-A038-9580498FEB56}" name="ID Pedido" dataDxfId="8"/>
    <tableColumn id="2" xr3:uid="{0D6C3438-9EE0-41B1-97EC-21953807C85F}" name="Data" dataDxfId="7"/>
    <tableColumn id="3" xr3:uid="{A6BF2D14-C1D5-49D3-AD5A-BF879BC85E77}" name="Cliente" dataDxfId="6"/>
    <tableColumn id="4" xr3:uid="{5B6FEA14-8214-430D-87C0-830602880FF7}" name="Categoria" dataDxfId="5"/>
    <tableColumn id="5" xr3:uid="{65514412-8A00-4055-B824-BEEF149EE31B}" name="Produto" dataDxfId="4"/>
    <tableColumn id="6" xr3:uid="{2B9A1A8D-0A0E-4091-B2C2-D4ACFCF95FCC}" name="Valor Venda" dataDxfId="3"/>
    <tableColumn id="7" xr3:uid="{CCE24EB3-3AC0-4EC1-BBA0-0280D16326CA}" name="Custo" dataDxfId="2"/>
    <tableColumn id="8" xr3:uid="{4D4C9935-9D1D-4225-82A5-6408BEF03A9A}" name="Região" dataDxfId="1"/>
    <tableColumn id="9" xr3:uid="{C3AEC4F5-016A-4C60-A294-AE3FD173EA2A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sqref="A1:I11"/>
    </sheetView>
  </sheetViews>
  <sheetFormatPr defaultRowHeight="15"/>
  <cols>
    <col min="1" max="1" width="13" bestFit="1" customWidth="1"/>
    <col min="2" max="2" width="11.7109375" bestFit="1" customWidth="1"/>
    <col min="3" max="3" width="14.42578125" bestFit="1" customWidth="1"/>
    <col min="4" max="4" width="13.42578125" bestFit="1" customWidth="1"/>
    <col min="5" max="5" width="17.7109375" bestFit="1" customWidth="1"/>
    <col min="6" max="6" width="15.42578125" bestFit="1" customWidth="1"/>
    <col min="8" max="8" width="13.5703125" bestFit="1" customWidth="1"/>
    <col min="9" max="9" width="10.7109375" bestFit="1" customWidth="1"/>
  </cols>
  <sheetData>
    <row r="1" spans="1: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>
      <c r="A2" s="3">
        <v>1001</v>
      </c>
      <c r="B2" s="2">
        <v>46023</v>
      </c>
      <c r="C2" s="1" t="s">
        <v>9</v>
      </c>
      <c r="D2" s="1" t="s">
        <v>10</v>
      </c>
      <c r="E2" s="1" t="s">
        <v>11</v>
      </c>
      <c r="F2" s="1">
        <v>5000</v>
      </c>
      <c r="G2" s="1">
        <v>3500</v>
      </c>
      <c r="H2" s="1" t="s">
        <v>12</v>
      </c>
      <c r="I2" s="4" t="s">
        <v>13</v>
      </c>
    </row>
    <row r="3" spans="1:9">
      <c r="A3" s="3">
        <v>1002</v>
      </c>
      <c r="B3" s="2">
        <v>46024</v>
      </c>
      <c r="C3" s="1" t="s">
        <v>14</v>
      </c>
      <c r="D3" s="1" t="s">
        <v>15</v>
      </c>
      <c r="E3" s="1" t="s">
        <v>16</v>
      </c>
      <c r="F3" s="1">
        <v>8000</v>
      </c>
      <c r="G3" s="1">
        <v>6000</v>
      </c>
      <c r="H3" s="1" t="s">
        <v>17</v>
      </c>
      <c r="I3" s="4" t="s">
        <v>13</v>
      </c>
    </row>
    <row r="4" spans="1:9">
      <c r="A4" s="3">
        <v>1003</v>
      </c>
      <c r="B4" s="2">
        <v>46025</v>
      </c>
      <c r="C4" s="1" t="s">
        <v>18</v>
      </c>
      <c r="D4" s="1" t="s">
        <v>19</v>
      </c>
      <c r="E4" s="1" t="s">
        <v>20</v>
      </c>
      <c r="F4" s="1">
        <v>300</v>
      </c>
      <c r="G4" s="1">
        <v>150</v>
      </c>
      <c r="H4" s="1" t="s">
        <v>21</v>
      </c>
      <c r="I4" s="4" t="s">
        <v>22</v>
      </c>
    </row>
    <row r="5" spans="1:9">
      <c r="A5" s="3">
        <v>1004</v>
      </c>
      <c r="B5" s="2">
        <v>46026</v>
      </c>
      <c r="C5" s="1" t="s">
        <v>23</v>
      </c>
      <c r="D5" s="1" t="s">
        <v>24</v>
      </c>
      <c r="E5" s="1" t="s">
        <v>25</v>
      </c>
      <c r="F5" s="1">
        <v>1800</v>
      </c>
      <c r="G5" s="1">
        <v>1100</v>
      </c>
      <c r="H5" s="1" t="s">
        <v>12</v>
      </c>
      <c r="I5" s="4" t="s">
        <v>13</v>
      </c>
    </row>
    <row r="6" spans="1:9">
      <c r="A6" s="3">
        <v>1005</v>
      </c>
      <c r="B6" s="2">
        <v>46027</v>
      </c>
      <c r="C6" s="1" t="s">
        <v>26</v>
      </c>
      <c r="D6" s="1" t="s">
        <v>10</v>
      </c>
      <c r="E6" s="1" t="s">
        <v>27</v>
      </c>
      <c r="F6" s="1">
        <v>4500</v>
      </c>
      <c r="G6" s="1">
        <v>3200</v>
      </c>
      <c r="H6" s="1" t="s">
        <v>28</v>
      </c>
      <c r="I6" s="4" t="s">
        <v>29</v>
      </c>
    </row>
    <row r="7" spans="1:9">
      <c r="A7" s="3">
        <v>1006</v>
      </c>
      <c r="B7" s="2">
        <v>46028</v>
      </c>
      <c r="C7" s="1" t="s">
        <v>30</v>
      </c>
      <c r="D7" s="1" t="s">
        <v>15</v>
      </c>
      <c r="E7" s="1" t="s">
        <v>31</v>
      </c>
      <c r="F7" s="1">
        <v>5500</v>
      </c>
      <c r="G7" s="1">
        <v>4200</v>
      </c>
      <c r="H7" s="1" t="s">
        <v>17</v>
      </c>
      <c r="I7" s="4" t="s">
        <v>13</v>
      </c>
    </row>
    <row r="8" spans="1:9">
      <c r="A8" s="3">
        <v>1007</v>
      </c>
      <c r="B8" s="2">
        <v>46029</v>
      </c>
      <c r="C8" s="1" t="s">
        <v>32</v>
      </c>
      <c r="D8" s="1" t="s">
        <v>19</v>
      </c>
      <c r="E8" s="1" t="s">
        <v>33</v>
      </c>
      <c r="F8" s="1">
        <v>450</v>
      </c>
      <c r="G8" s="1">
        <v>200</v>
      </c>
      <c r="H8" s="1" t="s">
        <v>34</v>
      </c>
      <c r="I8" s="4" t="s">
        <v>13</v>
      </c>
    </row>
    <row r="9" spans="1:9">
      <c r="A9" s="3">
        <v>1008</v>
      </c>
      <c r="B9" s="2">
        <v>46030</v>
      </c>
      <c r="C9" s="1" t="s">
        <v>35</v>
      </c>
      <c r="D9" s="1" t="s">
        <v>24</v>
      </c>
      <c r="E9" s="1" t="s">
        <v>36</v>
      </c>
      <c r="F9" s="1">
        <v>2200</v>
      </c>
      <c r="G9" s="1">
        <v>1500</v>
      </c>
      <c r="H9" s="1" t="s">
        <v>12</v>
      </c>
      <c r="I9" s="4" t="s">
        <v>13</v>
      </c>
    </row>
    <row r="10" spans="1:9">
      <c r="A10" s="3">
        <v>1009</v>
      </c>
      <c r="B10" s="2">
        <v>46031</v>
      </c>
      <c r="C10" s="1" t="s">
        <v>37</v>
      </c>
      <c r="D10" s="1" t="s">
        <v>10</v>
      </c>
      <c r="E10" s="1" t="s">
        <v>38</v>
      </c>
      <c r="F10" s="1">
        <v>4200</v>
      </c>
      <c r="G10" s="1">
        <v>3000</v>
      </c>
      <c r="H10" s="1" t="s">
        <v>21</v>
      </c>
      <c r="I10" s="4" t="s">
        <v>13</v>
      </c>
    </row>
    <row r="11" spans="1:9">
      <c r="A11" s="8">
        <v>1010</v>
      </c>
      <c r="B11" s="9">
        <v>46032</v>
      </c>
      <c r="C11" s="10" t="s">
        <v>39</v>
      </c>
      <c r="D11" s="10" t="s">
        <v>15</v>
      </c>
      <c r="E11" s="10" t="s">
        <v>40</v>
      </c>
      <c r="F11" s="10">
        <v>6000</v>
      </c>
      <c r="G11" s="10">
        <v>4800</v>
      </c>
      <c r="H11" s="10" t="s">
        <v>17</v>
      </c>
      <c r="I11" s="1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15A5-0B15-4007-BEB0-210C48C65DAC}">
  <dimension ref="A2:B4"/>
  <sheetViews>
    <sheetView workbookViewId="0">
      <selection activeCell="G9" sqref="G9"/>
    </sheetView>
  </sheetViews>
  <sheetFormatPr defaultRowHeight="15"/>
  <cols>
    <col min="1" max="1" width="16.5703125" bestFit="1" customWidth="1"/>
    <col min="2" max="2" width="29.85546875" bestFit="1" customWidth="1"/>
  </cols>
  <sheetData>
    <row r="2" spans="1:2">
      <c r="A2" t="s">
        <v>41</v>
      </c>
      <c r="B2">
        <f>SUM(Tabela1[Valor Venda])</f>
        <v>37950</v>
      </c>
    </row>
    <row r="3" spans="1:2">
      <c r="A3" t="s">
        <v>42</v>
      </c>
      <c r="B3">
        <f>SUM(Tabela1[Valor Venda]) - SUM(Tabela1[Custo])</f>
        <v>10300</v>
      </c>
    </row>
    <row r="4" spans="1:2">
      <c r="A4" t="s">
        <v>43</v>
      </c>
      <c r="B4" s="12">
        <f>(B3 / B2)</f>
        <v>0.27140974967061926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72BB-4078-4764-B706-A4FD8E299BA6}">
  <dimension ref="B3:I7"/>
  <sheetViews>
    <sheetView tabSelected="1" workbookViewId="0">
      <selection activeCell="L6" sqref="L6"/>
    </sheetView>
  </sheetViews>
  <sheetFormatPr defaultRowHeight="15"/>
  <cols>
    <col min="3" max="3" width="26.140625" bestFit="1" customWidth="1"/>
    <col min="8" max="8" width="29.7109375" customWidth="1"/>
  </cols>
  <sheetData>
    <row r="3" spans="2:9" ht="15" customHeight="1">
      <c r="B3" s="13" t="s">
        <v>41</v>
      </c>
      <c r="C3" s="13"/>
      <c r="D3" s="13"/>
      <c r="G3" s="15" t="s">
        <v>42</v>
      </c>
      <c r="H3" s="15"/>
      <c r="I3" s="15"/>
    </row>
    <row r="4" spans="2:9" ht="18.75" customHeight="1">
      <c r="B4" s="13"/>
      <c r="C4" s="13"/>
      <c r="D4" s="13"/>
      <c r="G4" s="15"/>
      <c r="H4" s="15"/>
      <c r="I4" s="15"/>
    </row>
    <row r="5" spans="2:9" ht="15" customHeight="1">
      <c r="B5" s="14">
        <v>37950</v>
      </c>
      <c r="C5" s="14"/>
      <c r="D5" s="14"/>
      <c r="G5" s="14">
        <v>10300</v>
      </c>
      <c r="H5" s="14"/>
      <c r="I5" s="14"/>
    </row>
    <row r="6" spans="2:9" ht="15" customHeight="1">
      <c r="B6" s="14"/>
      <c r="C6" s="14"/>
      <c r="D6" s="14"/>
      <c r="G6" s="14"/>
      <c r="H6" s="14"/>
      <c r="I6" s="14"/>
    </row>
    <row r="7" spans="2:9" ht="15" customHeight="1">
      <c r="B7" s="14"/>
      <c r="C7" s="14"/>
      <c r="D7" s="14"/>
      <c r="G7" s="14"/>
      <c r="H7" s="14"/>
      <c r="I7" s="14"/>
    </row>
  </sheetData>
  <mergeCells count="4">
    <mergeCell ref="B5:D7"/>
    <mergeCell ref="B3:D4"/>
    <mergeCell ref="G3:I4"/>
    <mergeCell ref="G5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2026-02-16T02:38:00Z</dcterms:created>
  <dcterms:modified xsi:type="dcterms:W3CDTF">2026-02-16T02:53:48Z</dcterms:modified>
  <cp:category/>
  <cp:contentStatus/>
</cp:coreProperties>
</file>